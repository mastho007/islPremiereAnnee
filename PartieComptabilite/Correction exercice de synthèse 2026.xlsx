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omec\Documents\Documents portable mars 2025\Produits logiciels de gestion intégrés\"/>
    </mc:Choice>
  </mc:AlternateContent>
  <xr:revisionPtr revIDLastSave="0" documentId="13_ncr:1_{30B3EF3C-55DD-4603-A632-2CB7CB48947E}" xr6:coauthVersionLast="36" xr6:coauthVersionMax="36" xr10:uidLastSave="{00000000-0000-0000-0000-000000000000}"/>
  <bookViews>
    <workbookView xWindow="0" yWindow="0" windowWidth="20490" windowHeight="7425" tabRatio="952" xr2:uid="{E7C67FA2-713D-41EE-B8EF-5AF502AF740A}"/>
  </bookViews>
  <sheets>
    <sheet name="Factures" sheetId="4" r:id="rId1"/>
    <sheet name="Grand livre des comptes ACTIF" sheetId="3" r:id="rId2"/>
    <sheet name="Grand livre des comptes PASSIF" sheetId="7" r:id="rId3"/>
    <sheet name="Grand livre des comptes CHARGES" sheetId="5" r:id="rId4"/>
    <sheet name="Grand livre des comptes PRODUIT" sheetId="8" r:id="rId5"/>
    <sheet name="Compte de résultat" sheetId="2" r:id="rId6"/>
    <sheet name="Bilan final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3" i="1" s="1"/>
  <c r="B11" i="1"/>
  <c r="C17" i="2"/>
  <c r="B4" i="4"/>
  <c r="R24" i="3"/>
  <c r="R21" i="3"/>
  <c r="R19" i="3"/>
  <c r="R11" i="7"/>
  <c r="G14" i="7" s="1"/>
  <c r="H38" i="4" l="1"/>
  <c r="H37" i="4"/>
  <c r="H36" i="4"/>
  <c r="H33" i="4"/>
  <c r="H32" i="4"/>
  <c r="H25" i="4"/>
  <c r="H26" i="4" s="1"/>
  <c r="B37" i="4"/>
  <c r="B36" i="4"/>
  <c r="H20" i="4"/>
  <c r="H21" i="4" s="1"/>
  <c r="H15" i="4"/>
  <c r="H16" i="4" s="1"/>
  <c r="D32" i="4"/>
  <c r="B30" i="4"/>
  <c r="B29" i="4"/>
  <c r="B23" i="4" l="1"/>
  <c r="B24" i="4"/>
  <c r="B22" i="4"/>
  <c r="B20" i="4"/>
  <c r="B14" i="4"/>
  <c r="B15" i="4"/>
  <c r="H11" i="4"/>
  <c r="H10" i="4"/>
  <c r="H9" i="4"/>
  <c r="H6" i="4"/>
  <c r="H5" i="4"/>
  <c r="H4" i="4"/>
  <c r="B10" i="4"/>
  <c r="B9" i="4"/>
  <c r="B16" i="4" l="1"/>
  <c r="B17" i="4" s="1"/>
</calcChain>
</file>

<file path=xl/sharedStrings.xml><?xml version="1.0" encoding="utf-8"?>
<sst xmlns="http://schemas.openxmlformats.org/spreadsheetml/2006/main" count="299" uniqueCount="168">
  <si>
    <t>Comptes d'actif</t>
  </si>
  <si>
    <t>D+</t>
  </si>
  <si>
    <t>C-</t>
  </si>
  <si>
    <t>220 Terrains/constructions</t>
  </si>
  <si>
    <t>230 IMO</t>
  </si>
  <si>
    <t>340 Stock</t>
  </si>
  <si>
    <t>400 Clients</t>
  </si>
  <si>
    <t>550 Banque</t>
  </si>
  <si>
    <t>570 Caisse</t>
  </si>
  <si>
    <t>411 TVA à récupérer</t>
  </si>
  <si>
    <t>4119 TVA à récup régul</t>
  </si>
  <si>
    <t>Comptes de charges</t>
  </si>
  <si>
    <t>604 Achat MD</t>
  </si>
  <si>
    <t>611 Entretien</t>
  </si>
  <si>
    <t>614 Assurances</t>
  </si>
  <si>
    <t>613 Communication</t>
  </si>
  <si>
    <t>608 RRR obtenus</t>
  </si>
  <si>
    <t>6094 Variation de stock</t>
  </si>
  <si>
    <t>693 Bénéfice à reporter</t>
  </si>
  <si>
    <t>Comptes de passif</t>
  </si>
  <si>
    <t>D-</t>
  </si>
  <si>
    <t>C+</t>
  </si>
  <si>
    <t>100 Capital</t>
  </si>
  <si>
    <t>173 Crédit à + 1 an</t>
  </si>
  <si>
    <t>430 Crédit à - 1 an</t>
  </si>
  <si>
    <t>440 Fournisseurs</t>
  </si>
  <si>
    <t>Comptes de produits</t>
  </si>
  <si>
    <t>707 Prestation services</t>
  </si>
  <si>
    <t>700 CA</t>
  </si>
  <si>
    <t>759 Produits financiers divers</t>
  </si>
  <si>
    <t>708 RRR accordés</t>
  </si>
  <si>
    <t>Charges</t>
  </si>
  <si>
    <t>Produits</t>
  </si>
  <si>
    <t>Achat MD</t>
  </si>
  <si>
    <t>RRR obtenus</t>
  </si>
  <si>
    <t>Variation de stock</t>
  </si>
  <si>
    <t>Entretien</t>
  </si>
  <si>
    <t>Assurances</t>
  </si>
  <si>
    <t>Communication</t>
  </si>
  <si>
    <t>Vente</t>
  </si>
  <si>
    <t>Prestation de services</t>
  </si>
  <si>
    <t>RRR accordés</t>
  </si>
  <si>
    <t>Produits financiers</t>
  </si>
  <si>
    <t>Charges d'exploitation</t>
  </si>
  <si>
    <t>Produits d'exploitation</t>
  </si>
  <si>
    <t>Charges financières</t>
  </si>
  <si>
    <t>Intérets</t>
  </si>
  <si>
    <t>Total</t>
  </si>
  <si>
    <t>(0)</t>
  </si>
  <si>
    <t xml:space="preserve">Opération 2 </t>
  </si>
  <si>
    <t>DODO MATELAS</t>
  </si>
  <si>
    <t>VENTES</t>
  </si>
  <si>
    <t>Ristourne 6%</t>
  </si>
  <si>
    <t>-180</t>
  </si>
  <si>
    <t>Transport</t>
  </si>
  <si>
    <t>TVA 21%</t>
  </si>
  <si>
    <t>(1)</t>
  </si>
  <si>
    <t>ACHATS</t>
  </si>
  <si>
    <t>TOPCLASS</t>
  </si>
  <si>
    <t>30*29</t>
  </si>
  <si>
    <t>12 * 250</t>
  </si>
  <si>
    <t>(2)</t>
  </si>
  <si>
    <t xml:space="preserve">Opération 1 </t>
  </si>
  <si>
    <t>(3)</t>
  </si>
  <si>
    <t>Opération 4</t>
  </si>
  <si>
    <t>JOLIES NUITS</t>
  </si>
  <si>
    <t>5*750</t>
  </si>
  <si>
    <t>(4)</t>
  </si>
  <si>
    <t>(5)</t>
  </si>
  <si>
    <t>(6)</t>
  </si>
  <si>
    <t xml:space="preserve">Opération 7 </t>
  </si>
  <si>
    <t>M. ROBERT</t>
  </si>
  <si>
    <t>Couette</t>
  </si>
  <si>
    <t>Oreillers</t>
  </si>
  <si>
    <t>(7)</t>
  </si>
  <si>
    <t>451 TVA à payer</t>
  </si>
  <si>
    <t>(8)</t>
  </si>
  <si>
    <t>Opération 9</t>
  </si>
  <si>
    <t>BOUTIQUE DU SUD</t>
  </si>
  <si>
    <t>3*550</t>
  </si>
  <si>
    <t xml:space="preserve">Livraison </t>
  </si>
  <si>
    <t>(9)</t>
  </si>
  <si>
    <t>(10)</t>
  </si>
  <si>
    <t>(11)</t>
  </si>
  <si>
    <t>Opération 12</t>
  </si>
  <si>
    <t>NOTE DE CREDIT</t>
  </si>
  <si>
    <t>Cadre de lit</t>
  </si>
  <si>
    <t>Total NC</t>
  </si>
  <si>
    <t>(12)</t>
  </si>
  <si>
    <t xml:space="preserve">SOLDE A PAYER PAR BOUTIQUE DU SUD </t>
  </si>
  <si>
    <t>(13)</t>
  </si>
  <si>
    <t>(14)</t>
  </si>
  <si>
    <t>ORDINATEUR</t>
  </si>
  <si>
    <t>(15)</t>
  </si>
  <si>
    <t>240 Mobilier et Matériel roulant</t>
  </si>
  <si>
    <t>Entretien chaudière</t>
  </si>
  <si>
    <t>TVA 6%</t>
  </si>
  <si>
    <t>(16)</t>
  </si>
  <si>
    <t>Madame DUTRONC</t>
  </si>
  <si>
    <t xml:space="preserve">Prestation </t>
  </si>
  <si>
    <t>(17)</t>
  </si>
  <si>
    <t>(18)</t>
  </si>
  <si>
    <t>PROXIMUS</t>
  </si>
  <si>
    <t>(19)</t>
  </si>
  <si>
    <t>Opération 15</t>
  </si>
  <si>
    <t>Opération 16</t>
  </si>
  <si>
    <t>Opération 19</t>
  </si>
  <si>
    <t>Opération 20</t>
  </si>
  <si>
    <t>PÈRE DODO</t>
  </si>
  <si>
    <t>Tables de nuit 3*100</t>
  </si>
  <si>
    <t>(20)</t>
  </si>
  <si>
    <t>NOTE DE CREDIT PÈRE DODO opération 21</t>
  </si>
  <si>
    <t>REMISE 7% sur 300</t>
  </si>
  <si>
    <t>(21)</t>
  </si>
  <si>
    <t>Régul TVA</t>
  </si>
  <si>
    <t>Total C compte 451</t>
  </si>
  <si>
    <t>Total D compte 451</t>
  </si>
  <si>
    <t>(22)</t>
  </si>
  <si>
    <t>Solde potence 451 au D</t>
  </si>
  <si>
    <t xml:space="preserve">Régul TVA </t>
  </si>
  <si>
    <t>Total D compte 411</t>
  </si>
  <si>
    <t>Total C compte 411</t>
  </si>
  <si>
    <t>Solde potence 411 au C</t>
  </si>
  <si>
    <t>Solde 451</t>
  </si>
  <si>
    <t>Solde 411</t>
  </si>
  <si>
    <t>Total 4419</t>
  </si>
  <si>
    <t>SF - SI</t>
  </si>
  <si>
    <t>Augmentation du stock de 5000</t>
  </si>
  <si>
    <t>(23)</t>
  </si>
  <si>
    <t>-21</t>
  </si>
  <si>
    <t>-5000</t>
  </si>
  <si>
    <t>Résultat</t>
  </si>
  <si>
    <t>Produits-charges</t>
  </si>
  <si>
    <t>= bénéfice</t>
  </si>
  <si>
    <t>(24)</t>
  </si>
  <si>
    <t>140 Bénéfice reporté</t>
  </si>
  <si>
    <t>BILAN AU 31/12</t>
  </si>
  <si>
    <t>ACTIF</t>
  </si>
  <si>
    <t>PASSIF</t>
  </si>
  <si>
    <t>SD: 150000</t>
  </si>
  <si>
    <t>SD: 60000</t>
  </si>
  <si>
    <t>SD: 16000</t>
  </si>
  <si>
    <t>SD: 40000</t>
  </si>
  <si>
    <t>SD: 4629,60</t>
  </si>
  <si>
    <t>Compte soldé</t>
  </si>
  <si>
    <t>SD: 148217,70</t>
  </si>
  <si>
    <t>SD: 2003,04</t>
  </si>
  <si>
    <t>SD: 4216</t>
  </si>
  <si>
    <t>Immo corporelles</t>
  </si>
  <si>
    <t>Stock MD</t>
  </si>
  <si>
    <t>Clients</t>
  </si>
  <si>
    <t>TVA à récupérer</t>
  </si>
  <si>
    <t>Banque</t>
  </si>
  <si>
    <t>Caisse</t>
  </si>
  <si>
    <t>TOTAL</t>
  </si>
  <si>
    <t>SC: 272420</t>
  </si>
  <si>
    <t>SC: 135000</t>
  </si>
  <si>
    <t>SC: 5000</t>
  </si>
  <si>
    <t>SC: 3976</t>
  </si>
  <si>
    <t>compte soldé</t>
  </si>
  <si>
    <t>Capital</t>
  </si>
  <si>
    <t>Bénéfice reporté</t>
  </si>
  <si>
    <t>Dettes à + 1 an</t>
  </si>
  <si>
    <t>Dettes à - 1 an</t>
  </si>
  <si>
    <t>Fournisseurs</t>
  </si>
  <si>
    <t>Différence</t>
  </si>
  <si>
    <t>Bonus pour celui qui trouve où est ma différence :-)</t>
  </si>
  <si>
    <t>SC: 8670,19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</si>
</sst>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0" borderId="9" xfId="0" applyBorder="1"/>
    <xf numFmtId="0" fontId="0" fillId="0" borderId="5" xfId="0" applyBorder="1"/>
    <xf numFmtId="0" fontId="1" fillId="0" borderId="1" xfId="0" applyFont="1" applyBorder="1"/>
    <xf numFmtId="0" fontId="0" fillId="0" borderId="0" xfId="0" quotePrefix="1"/>
    <xf numFmtId="0" fontId="0" fillId="0" borderId="2" xfId="0" applyBorder="1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  <xf numFmtId="0" fontId="0" fillId="0" borderId="1" xfId="0" applyFont="1" applyBorder="1"/>
    <xf numFmtId="0" fontId="0" fillId="0" borderId="0" xfId="0" quotePrefix="1" applyFill="1" applyBorder="1"/>
    <xf numFmtId="0" fontId="1" fillId="2" borderId="0" xfId="0" applyFont="1" applyFill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0" xfId="0" applyFill="1"/>
    <xf numFmtId="0" fontId="0" fillId="2" borderId="0" xfId="0" applyFont="1" applyFill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1" fillId="0" borderId="4" xfId="0" applyFont="1" applyBorder="1" applyAlignment="1"/>
    <xf numFmtId="0" fontId="1" fillId="0" borderId="0" xfId="0" applyFont="1" applyBorder="1" applyAlignment="1"/>
    <xf numFmtId="0" fontId="0" fillId="0" borderId="0" xfId="0" quotePrefix="1" applyAlignment="1">
      <alignment horizontal="right"/>
    </xf>
    <xf numFmtId="0" fontId="0" fillId="0" borderId="2" xfId="0" quotePrefix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2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3" xfId="0" applyBorder="1" applyAlignment="1">
      <alignment horizontal="right"/>
    </xf>
    <xf numFmtId="0" fontId="0" fillId="0" borderId="10" xfId="0" applyBorder="1"/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left"/>
    </xf>
    <xf numFmtId="0" fontId="1" fillId="0" borderId="0" xfId="0" applyFont="1" applyFill="1" applyBorder="1"/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6253-C172-40B5-A2D1-A6A5772C825F}">
  <dimension ref="A1:I38"/>
  <sheetViews>
    <sheetView tabSelected="1" topLeftCell="A19" workbookViewId="0">
      <selection activeCell="K32" sqref="K32"/>
    </sheetView>
  </sheetViews>
  <sheetFormatPr baseColWidth="10" defaultRowHeight="15" x14ac:dyDescent="0.25"/>
  <cols>
    <col min="1" max="1" width="12.5703125" bestFit="1" customWidth="1"/>
    <col min="7" max="7" width="18.7109375" bestFit="1" customWidth="1"/>
    <col min="8" max="8" width="12.42578125" bestFit="1" customWidth="1"/>
  </cols>
  <sheetData>
    <row r="1" spans="1:9" x14ac:dyDescent="0.25">
      <c r="A1" s="21" t="s">
        <v>51</v>
      </c>
      <c r="B1" s="21"/>
      <c r="C1" s="21"/>
      <c r="G1" s="21" t="s">
        <v>57</v>
      </c>
      <c r="H1" s="21"/>
      <c r="I1" s="21"/>
    </row>
    <row r="3" spans="1:9" x14ac:dyDescent="0.25">
      <c r="A3" s="11" t="s">
        <v>62</v>
      </c>
      <c r="B3" s="11" t="s">
        <v>50</v>
      </c>
      <c r="G3" s="11" t="s">
        <v>49</v>
      </c>
      <c r="H3" s="11" t="s">
        <v>58</v>
      </c>
    </row>
    <row r="4" spans="1:9" x14ac:dyDescent="0.25">
      <c r="A4" t="s">
        <v>60</v>
      </c>
      <c r="B4" s="12">
        <f>12*250</f>
        <v>3000</v>
      </c>
      <c r="G4" t="s">
        <v>59</v>
      </c>
      <c r="H4">
        <f>30*29</f>
        <v>870</v>
      </c>
    </row>
    <row r="5" spans="1:9" x14ac:dyDescent="0.25">
      <c r="A5" t="s">
        <v>52</v>
      </c>
      <c r="B5" s="13" t="s">
        <v>53</v>
      </c>
      <c r="G5" t="s">
        <v>55</v>
      </c>
      <c r="H5" s="17">
        <f>H4*21%</f>
        <v>182.7</v>
      </c>
    </row>
    <row r="6" spans="1:9" x14ac:dyDescent="0.25">
      <c r="B6" s="12">
        <v>2820</v>
      </c>
      <c r="G6" s="11" t="s">
        <v>47</v>
      </c>
      <c r="H6" s="11">
        <f>H4+H5</f>
        <v>1052.7</v>
      </c>
    </row>
    <row r="7" spans="1:9" x14ac:dyDescent="0.25">
      <c r="A7" t="s">
        <v>54</v>
      </c>
      <c r="B7" s="14">
        <v>60</v>
      </c>
    </row>
    <row r="8" spans="1:9" x14ac:dyDescent="0.25">
      <c r="B8" s="12">
        <v>2880</v>
      </c>
      <c r="G8" s="11" t="s">
        <v>64</v>
      </c>
      <c r="H8" s="11" t="s">
        <v>65</v>
      </c>
    </row>
    <row r="9" spans="1:9" x14ac:dyDescent="0.25">
      <c r="A9" t="s">
        <v>55</v>
      </c>
      <c r="B9" s="14">
        <f>B8*21%</f>
        <v>604.79999999999995</v>
      </c>
      <c r="G9" t="s">
        <v>66</v>
      </c>
      <c r="H9">
        <f>5*750</f>
        <v>3750</v>
      </c>
    </row>
    <row r="10" spans="1:9" x14ac:dyDescent="0.25">
      <c r="A10" s="11" t="s">
        <v>47</v>
      </c>
      <c r="B10" s="15">
        <f>B8+B9</f>
        <v>3484.8</v>
      </c>
      <c r="G10" s="16" t="s">
        <v>55</v>
      </c>
      <c r="H10" s="1">
        <f>H9*21%</f>
        <v>787.5</v>
      </c>
    </row>
    <row r="11" spans="1:9" x14ac:dyDescent="0.25">
      <c r="G11" s="11" t="s">
        <v>47</v>
      </c>
      <c r="H11" s="11">
        <f>H9+H10</f>
        <v>4537.5</v>
      </c>
    </row>
    <row r="12" spans="1:9" x14ac:dyDescent="0.25">
      <c r="A12" s="11" t="s">
        <v>70</v>
      </c>
      <c r="B12" s="11" t="s">
        <v>71</v>
      </c>
    </row>
    <row r="13" spans="1:9" x14ac:dyDescent="0.25">
      <c r="A13" t="s">
        <v>72</v>
      </c>
      <c r="B13">
        <v>275</v>
      </c>
      <c r="G13" s="11" t="s">
        <v>104</v>
      </c>
    </row>
    <row r="14" spans="1:9" x14ac:dyDescent="0.25">
      <c r="A14" s="11" t="s">
        <v>73</v>
      </c>
      <c r="B14" s="17">
        <f>2*45</f>
        <v>90</v>
      </c>
      <c r="G14" s="11" t="s">
        <v>92</v>
      </c>
      <c r="H14">
        <v>1000</v>
      </c>
    </row>
    <row r="15" spans="1:9" x14ac:dyDescent="0.25">
      <c r="B15">
        <f>B13+B14</f>
        <v>365</v>
      </c>
      <c r="G15" t="s">
        <v>55</v>
      </c>
      <c r="H15" s="1">
        <f>H14*21%</f>
        <v>210</v>
      </c>
    </row>
    <row r="16" spans="1:9" x14ac:dyDescent="0.25">
      <c r="A16" t="s">
        <v>55</v>
      </c>
      <c r="B16" s="1">
        <f>B15*21%</f>
        <v>76.649999999999991</v>
      </c>
      <c r="G16" s="11" t="s">
        <v>47</v>
      </c>
      <c r="H16" s="11">
        <f>H14+H15</f>
        <v>1210</v>
      </c>
    </row>
    <row r="17" spans="1:8" x14ac:dyDescent="0.25">
      <c r="A17" s="11" t="s">
        <v>47</v>
      </c>
      <c r="B17" s="11">
        <f>B15+B16</f>
        <v>441.65</v>
      </c>
    </row>
    <row r="18" spans="1:8" x14ac:dyDescent="0.25">
      <c r="G18" s="11" t="s">
        <v>105</v>
      </c>
    </row>
    <row r="19" spans="1:8" x14ac:dyDescent="0.25">
      <c r="A19" s="11" t="s">
        <v>77</v>
      </c>
      <c r="B19" s="11" t="s">
        <v>78</v>
      </c>
      <c r="G19" s="11" t="s">
        <v>95</v>
      </c>
      <c r="H19">
        <v>340</v>
      </c>
    </row>
    <row r="20" spans="1:8" x14ac:dyDescent="0.25">
      <c r="A20" t="s">
        <v>79</v>
      </c>
      <c r="B20">
        <f>3*550</f>
        <v>1650</v>
      </c>
      <c r="G20" t="s">
        <v>96</v>
      </c>
      <c r="H20" s="1">
        <f>H19*6%</f>
        <v>20.399999999999999</v>
      </c>
    </row>
    <row r="21" spans="1:8" x14ac:dyDescent="0.25">
      <c r="A21" s="16" t="s">
        <v>80</v>
      </c>
      <c r="B21" s="1">
        <v>75</v>
      </c>
      <c r="G21" s="11" t="s">
        <v>47</v>
      </c>
      <c r="H21" s="11">
        <f>H19+H20</f>
        <v>360.4</v>
      </c>
    </row>
    <row r="22" spans="1:8" x14ac:dyDescent="0.25">
      <c r="B22">
        <f>B20+B21</f>
        <v>1725</v>
      </c>
    </row>
    <row r="23" spans="1:8" x14ac:dyDescent="0.25">
      <c r="A23" t="s">
        <v>55</v>
      </c>
      <c r="B23" s="1">
        <f>B22*21%</f>
        <v>362.25</v>
      </c>
      <c r="G23" s="11" t="s">
        <v>106</v>
      </c>
    </row>
    <row r="24" spans="1:8" x14ac:dyDescent="0.25">
      <c r="A24" s="11" t="s">
        <v>47</v>
      </c>
      <c r="B24" s="11">
        <f>B22+B23</f>
        <v>2087.25</v>
      </c>
      <c r="G24" s="11" t="s">
        <v>102</v>
      </c>
      <c r="H24">
        <v>120</v>
      </c>
    </row>
    <row r="25" spans="1:8" x14ac:dyDescent="0.25">
      <c r="G25" t="s">
        <v>55</v>
      </c>
      <c r="H25" s="1">
        <f>H24*21%</f>
        <v>25.2</v>
      </c>
    </row>
    <row r="26" spans="1:8" x14ac:dyDescent="0.25">
      <c r="A26" s="11" t="s">
        <v>84</v>
      </c>
      <c r="B26" s="11" t="s">
        <v>78</v>
      </c>
      <c r="G26" s="11" t="s">
        <v>47</v>
      </c>
      <c r="H26" s="11">
        <f>H24+H25</f>
        <v>145.19999999999999</v>
      </c>
    </row>
    <row r="27" spans="1:8" x14ac:dyDescent="0.25">
      <c r="A27" s="11" t="s">
        <v>85</v>
      </c>
      <c r="B27" s="11"/>
    </row>
    <row r="28" spans="1:8" x14ac:dyDescent="0.25">
      <c r="A28" s="16" t="s">
        <v>86</v>
      </c>
      <c r="B28">
        <v>550</v>
      </c>
      <c r="G28" s="11" t="s">
        <v>107</v>
      </c>
      <c r="H28" s="11" t="s">
        <v>108</v>
      </c>
    </row>
    <row r="29" spans="1:8" x14ac:dyDescent="0.25">
      <c r="A29" s="16" t="s">
        <v>55</v>
      </c>
      <c r="B29" s="1">
        <f>B28*21%</f>
        <v>115.5</v>
      </c>
      <c r="G29" t="s">
        <v>109</v>
      </c>
      <c r="H29">
        <v>300</v>
      </c>
    </row>
    <row r="30" spans="1:8" x14ac:dyDescent="0.25">
      <c r="A30" s="11" t="s">
        <v>87</v>
      </c>
      <c r="B30" s="11">
        <f>B28+B29</f>
        <v>665.5</v>
      </c>
      <c r="G30" s="16" t="s">
        <v>54</v>
      </c>
      <c r="H30" s="1">
        <v>30</v>
      </c>
    </row>
    <row r="31" spans="1:8" x14ac:dyDescent="0.25">
      <c r="H31">
        <v>330</v>
      </c>
    </row>
    <row r="32" spans="1:8" x14ac:dyDescent="0.25">
      <c r="A32" s="19" t="s">
        <v>89</v>
      </c>
      <c r="B32" s="19"/>
      <c r="C32" s="19"/>
      <c r="D32" s="19">
        <f>B24-B30</f>
        <v>1421.75</v>
      </c>
      <c r="G32" t="s">
        <v>55</v>
      </c>
      <c r="H32" s="1">
        <f>H31*21%</f>
        <v>69.3</v>
      </c>
    </row>
    <row r="33" spans="1:8" x14ac:dyDescent="0.25">
      <c r="G33" s="11" t="s">
        <v>47</v>
      </c>
      <c r="H33" s="11">
        <f>H31+H32</f>
        <v>399.3</v>
      </c>
    </row>
    <row r="34" spans="1:8" x14ac:dyDescent="0.25">
      <c r="A34" s="11" t="s">
        <v>98</v>
      </c>
    </row>
    <row r="35" spans="1:8" x14ac:dyDescent="0.25">
      <c r="A35" t="s">
        <v>99</v>
      </c>
      <c r="B35">
        <v>45</v>
      </c>
      <c r="G35" s="11" t="s">
        <v>111</v>
      </c>
    </row>
    <row r="36" spans="1:8" x14ac:dyDescent="0.25">
      <c r="A36" t="s">
        <v>55</v>
      </c>
      <c r="B36" s="17">
        <f>B35*21%</f>
        <v>9.4499999999999993</v>
      </c>
      <c r="G36" t="s">
        <v>112</v>
      </c>
      <c r="H36">
        <f>300*7%</f>
        <v>21.000000000000004</v>
      </c>
    </row>
    <row r="37" spans="1:8" x14ac:dyDescent="0.25">
      <c r="A37" s="11" t="s">
        <v>47</v>
      </c>
      <c r="B37" s="11">
        <f>B35+B36</f>
        <v>54.45</v>
      </c>
      <c r="G37" s="16" t="s">
        <v>55</v>
      </c>
      <c r="H37" s="1">
        <f>H36*21%</f>
        <v>4.41</v>
      </c>
    </row>
    <row r="38" spans="1:8" x14ac:dyDescent="0.25">
      <c r="G38" s="11" t="s">
        <v>47</v>
      </c>
      <c r="H38" s="11">
        <f>H36+H37</f>
        <v>25.410000000000004</v>
      </c>
    </row>
  </sheetData>
  <mergeCells count="2">
    <mergeCell ref="A1:C1"/>
    <mergeCell ref="G1:I1"/>
  </mergeCells>
  <pageMargins left="0.7" right="0.7" top="0.75" bottom="0.75" header="0.3" footer="0.3"/>
  <pageSetup paperSize="9" orientation="portrait" r:id="rId1"/>
  <ignoredErrors>
    <ignoredError sqref="B16 B23" formula="1"/>
    <ignoredError sqref="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3F12-B602-40F3-8B86-7CD99DA84A9C}">
  <dimension ref="A1:R28"/>
  <sheetViews>
    <sheetView topLeftCell="B7" workbookViewId="0">
      <selection activeCell="P25" sqref="P25"/>
    </sheetView>
  </sheetViews>
  <sheetFormatPr baseColWidth="10" defaultRowHeight="15" x14ac:dyDescent="0.25"/>
  <cols>
    <col min="1" max="1" width="4.42578125" bestFit="1" customWidth="1"/>
    <col min="2" max="2" width="12.85546875" customWidth="1"/>
    <col min="3" max="3" width="10.5703125" customWidth="1"/>
    <col min="4" max="4" width="3.42578125" bestFit="1" customWidth="1"/>
    <col min="6" max="6" width="4.42578125" bestFit="1" customWidth="1"/>
    <col min="7" max="7" width="12.140625" customWidth="1"/>
    <col min="8" max="8" width="11.85546875" customWidth="1"/>
    <col min="9" max="9" width="4.42578125" bestFit="1" customWidth="1"/>
    <col min="11" max="11" width="4.42578125" bestFit="1" customWidth="1"/>
    <col min="12" max="12" width="16.7109375" customWidth="1"/>
    <col min="13" max="13" width="13.85546875" customWidth="1"/>
    <col min="14" max="14" width="4.42578125" bestFit="1" customWidth="1"/>
    <col min="17" max="17" width="24.28515625" customWidth="1"/>
  </cols>
  <sheetData>
    <row r="1" spans="1:14" ht="15.7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4" spans="1:14" x14ac:dyDescent="0.25">
      <c r="A4" s="1" t="s">
        <v>1</v>
      </c>
      <c r="B4" s="23" t="s">
        <v>3</v>
      </c>
      <c r="C4" s="23"/>
      <c r="D4" s="1" t="s">
        <v>2</v>
      </c>
      <c r="F4" s="1" t="s">
        <v>1</v>
      </c>
      <c r="G4" s="23" t="s">
        <v>4</v>
      </c>
      <c r="H4" s="23"/>
      <c r="I4" s="1" t="s">
        <v>2</v>
      </c>
      <c r="K4" s="1" t="s">
        <v>1</v>
      </c>
      <c r="L4" s="23" t="s">
        <v>94</v>
      </c>
      <c r="M4" s="23"/>
      <c r="N4" s="1" t="s">
        <v>2</v>
      </c>
    </row>
    <row r="5" spans="1:14" x14ac:dyDescent="0.25">
      <c r="A5" s="9" t="s">
        <v>48</v>
      </c>
      <c r="B5" s="10">
        <v>150000</v>
      </c>
      <c r="F5" s="9" t="s">
        <v>48</v>
      </c>
      <c r="G5" s="10">
        <v>60000</v>
      </c>
      <c r="K5" s="9" t="s">
        <v>48</v>
      </c>
      <c r="L5" s="10">
        <v>15000</v>
      </c>
    </row>
    <row r="6" spans="1:14" x14ac:dyDescent="0.25">
      <c r="B6" s="3"/>
      <c r="G6" s="3"/>
      <c r="K6" s="9" t="s">
        <v>93</v>
      </c>
      <c r="L6" s="3">
        <v>1000</v>
      </c>
    </row>
    <row r="7" spans="1:14" x14ac:dyDescent="0.25">
      <c r="B7" s="3"/>
      <c r="G7" s="3"/>
      <c r="L7" s="3"/>
    </row>
    <row r="8" spans="1:14" x14ac:dyDescent="0.25">
      <c r="B8" s="2"/>
      <c r="C8" s="1"/>
      <c r="G8" s="2"/>
      <c r="H8" s="1"/>
      <c r="L8" s="2"/>
      <c r="M8" s="1"/>
    </row>
    <row r="9" spans="1:14" x14ac:dyDescent="0.25">
      <c r="B9" s="3"/>
      <c r="C9" t="s">
        <v>139</v>
      </c>
      <c r="G9" s="3"/>
      <c r="H9" t="s">
        <v>140</v>
      </c>
      <c r="L9" s="7"/>
      <c r="M9" t="s">
        <v>141</v>
      </c>
    </row>
    <row r="10" spans="1:14" x14ac:dyDescent="0.25">
      <c r="B10" s="3"/>
      <c r="G10" s="3"/>
      <c r="L10" s="3"/>
    </row>
    <row r="12" spans="1:14" x14ac:dyDescent="0.25">
      <c r="A12" s="1" t="s">
        <v>1</v>
      </c>
      <c r="B12" s="23" t="s">
        <v>5</v>
      </c>
      <c r="C12" s="23"/>
      <c r="D12" s="1" t="s">
        <v>2</v>
      </c>
      <c r="F12" s="1" t="s">
        <v>1</v>
      </c>
      <c r="G12" s="23" t="s">
        <v>6</v>
      </c>
      <c r="H12" s="23"/>
      <c r="I12" s="1" t="s">
        <v>2</v>
      </c>
      <c r="K12" s="1" t="s">
        <v>1</v>
      </c>
      <c r="L12" s="23" t="s">
        <v>7</v>
      </c>
      <c r="M12" s="23"/>
      <c r="N12" s="1" t="s">
        <v>2</v>
      </c>
    </row>
    <row r="13" spans="1:14" x14ac:dyDescent="0.25">
      <c r="A13" s="9" t="s">
        <v>48</v>
      </c>
      <c r="B13" s="10">
        <v>35000</v>
      </c>
      <c r="F13" s="9" t="s">
        <v>48</v>
      </c>
      <c r="G13" s="10">
        <v>4550</v>
      </c>
      <c r="H13" s="41">
        <v>3484.8</v>
      </c>
      <c r="I13" s="9" t="s">
        <v>68</v>
      </c>
      <c r="K13" s="9" t="s">
        <v>48</v>
      </c>
      <c r="L13" s="10">
        <v>120000</v>
      </c>
      <c r="M13" s="12">
        <v>526.35</v>
      </c>
      <c r="N13" s="9" t="s">
        <v>63</v>
      </c>
    </row>
    <row r="14" spans="1:14" x14ac:dyDescent="0.25">
      <c r="A14" s="9" t="s">
        <v>128</v>
      </c>
      <c r="B14" s="3">
        <v>5000</v>
      </c>
      <c r="F14" s="9" t="s">
        <v>56</v>
      </c>
      <c r="G14" s="10">
        <v>3484.8</v>
      </c>
      <c r="H14" s="12">
        <v>665.5</v>
      </c>
      <c r="I14" s="9" t="s">
        <v>88</v>
      </c>
      <c r="K14" s="9" t="s">
        <v>68</v>
      </c>
      <c r="L14" s="3">
        <v>3484.8</v>
      </c>
      <c r="M14" s="12">
        <v>1500</v>
      </c>
      <c r="N14" s="9" t="s">
        <v>69</v>
      </c>
    </row>
    <row r="15" spans="1:14" x14ac:dyDescent="0.25">
      <c r="B15" s="3"/>
      <c r="F15" s="18" t="s">
        <v>81</v>
      </c>
      <c r="G15" s="40">
        <v>2087.25</v>
      </c>
      <c r="H15" s="12">
        <v>1421.75</v>
      </c>
      <c r="I15" s="18" t="s">
        <v>90</v>
      </c>
      <c r="K15" s="18" t="s">
        <v>90</v>
      </c>
      <c r="L15" s="3">
        <v>1421.75</v>
      </c>
      <c r="M15" s="12">
        <v>4537.5</v>
      </c>
      <c r="N15" s="18" t="s">
        <v>76</v>
      </c>
    </row>
    <row r="16" spans="1:14" x14ac:dyDescent="0.25">
      <c r="B16" s="3"/>
      <c r="F16" s="18" t="s">
        <v>82</v>
      </c>
      <c r="G16" s="10">
        <v>25</v>
      </c>
      <c r="K16" s="18" t="s">
        <v>91</v>
      </c>
      <c r="L16" s="3">
        <v>35000</v>
      </c>
      <c r="M16" s="12">
        <v>5000</v>
      </c>
      <c r="N16" s="18" t="s">
        <v>83</v>
      </c>
    </row>
    <row r="17" spans="1:18" x14ac:dyDescent="0.25">
      <c r="B17" s="2"/>
      <c r="C17" s="6"/>
      <c r="F17" s="18" t="s">
        <v>100</v>
      </c>
      <c r="G17" s="43">
        <v>54.45</v>
      </c>
      <c r="H17" s="1"/>
      <c r="L17" s="2"/>
      <c r="M17" s="14">
        <v>125</v>
      </c>
      <c r="N17" s="18" t="s">
        <v>101</v>
      </c>
    </row>
    <row r="18" spans="1:18" x14ac:dyDescent="0.25">
      <c r="B18" s="4"/>
      <c r="C18" s="44" t="s">
        <v>142</v>
      </c>
      <c r="G18" s="3"/>
      <c r="H18" t="s">
        <v>143</v>
      </c>
      <c r="L18" s="3"/>
      <c r="M18" t="s">
        <v>145</v>
      </c>
      <c r="Q18" s="19" t="s">
        <v>119</v>
      </c>
      <c r="R18" s="19"/>
    </row>
    <row r="19" spans="1:18" x14ac:dyDescent="0.25">
      <c r="Q19" s="30" t="s">
        <v>120</v>
      </c>
      <c r="R19" s="30">
        <f>G22+G23+G24+G25+G26+G27</f>
        <v>1295.1000000000001</v>
      </c>
    </row>
    <row r="20" spans="1:18" x14ac:dyDescent="0.25">
      <c r="Q20" s="30" t="s">
        <v>121</v>
      </c>
      <c r="R20" s="30">
        <v>4.41</v>
      </c>
    </row>
    <row r="21" spans="1:18" x14ac:dyDescent="0.25">
      <c r="A21" s="1" t="s">
        <v>1</v>
      </c>
      <c r="B21" s="23" t="s">
        <v>8</v>
      </c>
      <c r="C21" s="23"/>
      <c r="D21" s="1" t="s">
        <v>2</v>
      </c>
      <c r="F21" s="1" t="s">
        <v>1</v>
      </c>
      <c r="G21" s="23" t="s">
        <v>9</v>
      </c>
      <c r="H21" s="23"/>
      <c r="I21" s="1" t="s">
        <v>2</v>
      </c>
      <c r="K21" s="1" t="s">
        <v>1</v>
      </c>
      <c r="L21" s="23" t="s">
        <v>10</v>
      </c>
      <c r="M21" s="23"/>
      <c r="N21" s="1" t="s">
        <v>2</v>
      </c>
      <c r="Q21" s="30" t="s">
        <v>122</v>
      </c>
      <c r="R21" s="30">
        <f>R19-R20</f>
        <v>1290.69</v>
      </c>
    </row>
    <row r="22" spans="1:18" x14ac:dyDescent="0.25">
      <c r="A22" s="9" t="s">
        <v>48</v>
      </c>
      <c r="B22" s="10">
        <v>3200</v>
      </c>
      <c r="C22" s="12">
        <v>526.35</v>
      </c>
      <c r="D22" s="9" t="s">
        <v>63</v>
      </c>
      <c r="F22" s="9" t="s">
        <v>61</v>
      </c>
      <c r="G22" s="3">
        <v>182.7</v>
      </c>
      <c r="H22" s="12">
        <v>4.41</v>
      </c>
      <c r="I22" s="9" t="s">
        <v>113</v>
      </c>
      <c r="K22" s="9" t="s">
        <v>48</v>
      </c>
      <c r="L22" s="10">
        <v>1650</v>
      </c>
      <c r="Q22" s="30" t="s">
        <v>123</v>
      </c>
      <c r="R22" s="30">
        <v>937.65</v>
      </c>
    </row>
    <row r="23" spans="1:18" x14ac:dyDescent="0.25">
      <c r="A23" s="9" t="s">
        <v>69</v>
      </c>
      <c r="B23" s="4">
        <v>1500</v>
      </c>
      <c r="C23" s="46">
        <v>399.3</v>
      </c>
      <c r="D23" s="18" t="s">
        <v>110</v>
      </c>
      <c r="F23" s="9" t="s">
        <v>67</v>
      </c>
      <c r="G23" s="3">
        <v>787.5</v>
      </c>
      <c r="H23" s="12">
        <v>1290.69</v>
      </c>
      <c r="I23" s="9" t="s">
        <v>117</v>
      </c>
      <c r="K23" s="9" t="s">
        <v>117</v>
      </c>
      <c r="L23" s="3">
        <v>353.04</v>
      </c>
      <c r="Q23" s="30" t="s">
        <v>124</v>
      </c>
      <c r="R23" s="30">
        <v>1290.69</v>
      </c>
    </row>
    <row r="24" spans="1:18" x14ac:dyDescent="0.25">
      <c r="A24" s="18" t="s">
        <v>74</v>
      </c>
      <c r="B24" s="3">
        <v>441.65</v>
      </c>
      <c r="F24" s="18" t="s">
        <v>93</v>
      </c>
      <c r="G24" s="3">
        <v>210</v>
      </c>
      <c r="L24" s="2"/>
      <c r="M24" s="1"/>
      <c r="Q24" s="30" t="s">
        <v>125</v>
      </c>
      <c r="R24" s="30">
        <f>R23-R22</f>
        <v>353.04000000000008</v>
      </c>
    </row>
    <row r="25" spans="1:18" x14ac:dyDescent="0.25">
      <c r="B25" s="2"/>
      <c r="C25" s="1"/>
      <c r="F25" s="18" t="s">
        <v>97</v>
      </c>
      <c r="G25" s="3">
        <v>20.399999999999999</v>
      </c>
      <c r="L25" s="3"/>
      <c r="M25" t="s">
        <v>146</v>
      </c>
      <c r="Q25" s="31"/>
      <c r="R25" s="31"/>
    </row>
    <row r="26" spans="1:18" x14ac:dyDescent="0.25">
      <c r="B26" s="3"/>
      <c r="C26" t="s">
        <v>147</v>
      </c>
      <c r="F26" s="18" t="s">
        <v>103</v>
      </c>
      <c r="G26" s="3">
        <v>25.2</v>
      </c>
      <c r="L26" s="3"/>
      <c r="Q26" s="31"/>
      <c r="R26" s="31"/>
    </row>
    <row r="27" spans="1:18" x14ac:dyDescent="0.25">
      <c r="B27" s="3"/>
      <c r="F27" s="18" t="s">
        <v>110</v>
      </c>
      <c r="G27" s="2">
        <v>69.3</v>
      </c>
      <c r="H27" s="1"/>
      <c r="L27" s="3"/>
    </row>
    <row r="28" spans="1:18" x14ac:dyDescent="0.25">
      <c r="G28" s="45" t="s">
        <v>144</v>
      </c>
      <c r="H28" s="45"/>
    </row>
  </sheetData>
  <mergeCells count="11">
    <mergeCell ref="G28:H28"/>
    <mergeCell ref="A1:N1"/>
    <mergeCell ref="B12:C12"/>
    <mergeCell ref="G12:H12"/>
    <mergeCell ref="L12:M12"/>
    <mergeCell ref="B21:C21"/>
    <mergeCell ref="G21:H21"/>
    <mergeCell ref="L21:M21"/>
    <mergeCell ref="B4:C4"/>
    <mergeCell ref="G4:H4"/>
    <mergeCell ref="L4:M4"/>
  </mergeCells>
  <pageMargins left="0.7" right="0.7" top="0.75" bottom="0.75" header="0.3" footer="0.3"/>
  <pageSetup paperSize="9" orientation="portrait" r:id="rId1"/>
  <ignoredErrors>
    <ignoredError sqref="A5 F5 K5:K6 A13:A14 F13:F17 I13:I15 K13:K16 N13:N18 A22:A24 D22:D23 F22:F27 I22:I23 K22:K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3834-C428-4666-BDEC-360E80C98A9E}">
  <dimension ref="A1:R20"/>
  <sheetViews>
    <sheetView topLeftCell="A7" workbookViewId="0">
      <selection activeCell="H24" sqref="H24"/>
    </sheetView>
  </sheetViews>
  <sheetFormatPr baseColWidth="10" defaultRowHeight="15" x14ac:dyDescent="0.25"/>
  <cols>
    <col min="1" max="1" width="4.42578125" bestFit="1" customWidth="1"/>
    <col min="2" max="2" width="11" customWidth="1"/>
    <col min="3" max="3" width="11.7109375" customWidth="1"/>
    <col min="4" max="4" width="4.42578125" bestFit="1" customWidth="1"/>
    <col min="6" max="6" width="4.42578125" bestFit="1" customWidth="1"/>
    <col min="7" max="8" width="12.7109375" customWidth="1"/>
    <col min="9" max="9" width="4.42578125" bestFit="1" customWidth="1"/>
    <col min="11" max="11" width="4.42578125" bestFit="1" customWidth="1"/>
    <col min="12" max="13" width="10.28515625" customWidth="1"/>
    <col min="14" max="14" width="4.42578125" bestFit="1" customWidth="1"/>
    <col min="17" max="17" width="21.7109375" bestFit="1" customWidth="1"/>
  </cols>
  <sheetData>
    <row r="1" spans="1:18" ht="15.75" x14ac:dyDescent="0.2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4" spans="1:18" x14ac:dyDescent="0.25">
      <c r="A4" s="1" t="s">
        <v>20</v>
      </c>
      <c r="B4" s="23" t="s">
        <v>22</v>
      </c>
      <c r="C4" s="23"/>
      <c r="D4" s="1" t="s">
        <v>21</v>
      </c>
      <c r="F4" s="1" t="s">
        <v>20</v>
      </c>
      <c r="G4" s="23" t="s">
        <v>23</v>
      </c>
      <c r="H4" s="23"/>
      <c r="I4" s="1" t="s">
        <v>21</v>
      </c>
      <c r="K4" s="1" t="s">
        <v>20</v>
      </c>
      <c r="L4" s="23" t="s">
        <v>24</v>
      </c>
      <c r="M4" s="23"/>
      <c r="N4" s="1" t="s">
        <v>21</v>
      </c>
    </row>
    <row r="5" spans="1:18" x14ac:dyDescent="0.25">
      <c r="B5" s="3"/>
      <c r="C5">
        <v>272420</v>
      </c>
      <c r="D5" s="9" t="s">
        <v>48</v>
      </c>
      <c r="G5" s="3"/>
      <c r="H5">
        <v>100000</v>
      </c>
      <c r="I5" s="9" t="s">
        <v>48</v>
      </c>
      <c r="K5" s="9" t="s">
        <v>83</v>
      </c>
      <c r="L5" s="3">
        <v>5000</v>
      </c>
      <c r="M5">
        <v>10000</v>
      </c>
      <c r="N5" s="9" t="s">
        <v>48</v>
      </c>
    </row>
    <row r="6" spans="1:18" x14ac:dyDescent="0.25">
      <c r="B6" s="3"/>
      <c r="G6" s="3"/>
      <c r="H6" s="12">
        <v>35000</v>
      </c>
      <c r="I6" s="9" t="s">
        <v>91</v>
      </c>
      <c r="L6" s="3"/>
    </row>
    <row r="7" spans="1:18" x14ac:dyDescent="0.25">
      <c r="B7" s="2"/>
      <c r="C7" s="1"/>
      <c r="G7" s="2"/>
      <c r="H7" s="1"/>
      <c r="L7" s="2"/>
      <c r="M7" s="1"/>
    </row>
    <row r="8" spans="1:18" x14ac:dyDescent="0.25">
      <c r="B8" s="3" t="s">
        <v>155</v>
      </c>
      <c r="G8" s="3" t="s">
        <v>156</v>
      </c>
      <c r="L8" s="3" t="s">
        <v>157</v>
      </c>
    </row>
    <row r="9" spans="1:18" x14ac:dyDescent="0.25">
      <c r="B9" s="3"/>
      <c r="G9" s="3"/>
      <c r="L9" s="3"/>
    </row>
    <row r="10" spans="1:18" x14ac:dyDescent="0.25">
      <c r="B10" s="3"/>
      <c r="G10" s="3"/>
      <c r="L10" s="3"/>
      <c r="Q10" s="19" t="s">
        <v>114</v>
      </c>
      <c r="R10" s="19"/>
    </row>
    <row r="11" spans="1:18" x14ac:dyDescent="0.25">
      <c r="Q11" s="30" t="s">
        <v>115</v>
      </c>
      <c r="R11" s="30">
        <f>H13+H14+H15+H16</f>
        <v>1053.1499999999999</v>
      </c>
    </row>
    <row r="12" spans="1:18" x14ac:dyDescent="0.25">
      <c r="A12" s="1" t="s">
        <v>20</v>
      </c>
      <c r="B12" s="23" t="s">
        <v>25</v>
      </c>
      <c r="C12" s="23"/>
      <c r="D12" s="1" t="s">
        <v>21</v>
      </c>
      <c r="F12" s="1" t="s">
        <v>20</v>
      </c>
      <c r="G12" s="23" t="s">
        <v>75</v>
      </c>
      <c r="H12" s="23"/>
      <c r="I12" s="1" t="s">
        <v>21</v>
      </c>
      <c r="K12" s="1" t="s">
        <v>20</v>
      </c>
      <c r="L12" s="23" t="s">
        <v>135</v>
      </c>
      <c r="M12" s="23"/>
      <c r="N12" s="1" t="s">
        <v>21</v>
      </c>
      <c r="Q12" s="30" t="s">
        <v>116</v>
      </c>
      <c r="R12" s="30">
        <v>115.5</v>
      </c>
    </row>
    <row r="13" spans="1:18" x14ac:dyDescent="0.25">
      <c r="A13" s="9" t="s">
        <v>63</v>
      </c>
      <c r="B13" s="7">
        <v>1052.7</v>
      </c>
      <c r="C13" s="12">
        <v>6980</v>
      </c>
      <c r="D13" s="9" t="s">
        <v>48</v>
      </c>
      <c r="F13" s="9" t="s">
        <v>88</v>
      </c>
      <c r="G13" s="3">
        <v>115.5</v>
      </c>
      <c r="H13" s="12">
        <v>604.79999999999995</v>
      </c>
      <c r="I13" s="9" t="s">
        <v>56</v>
      </c>
      <c r="L13" s="3"/>
      <c r="M13" s="12">
        <v>3976</v>
      </c>
      <c r="N13" s="9" t="s">
        <v>134</v>
      </c>
      <c r="Q13" s="30" t="s">
        <v>118</v>
      </c>
      <c r="R13" s="30">
        <v>937.65</v>
      </c>
    </row>
    <row r="14" spans="1:18" x14ac:dyDescent="0.25">
      <c r="A14" s="9" t="s">
        <v>76</v>
      </c>
      <c r="B14" s="3">
        <v>4537.5</v>
      </c>
      <c r="C14" s="12">
        <v>1052.7</v>
      </c>
      <c r="D14" s="9" t="s">
        <v>61</v>
      </c>
      <c r="F14" s="9" t="s">
        <v>117</v>
      </c>
      <c r="G14" s="3">
        <f>R11-G13</f>
        <v>937.64999999999986</v>
      </c>
      <c r="H14" s="12">
        <v>76.650000000000006</v>
      </c>
      <c r="I14" s="9" t="s">
        <v>74</v>
      </c>
      <c r="L14" s="3"/>
      <c r="Q14" s="16"/>
      <c r="R14" s="33"/>
    </row>
    <row r="15" spans="1:18" x14ac:dyDescent="0.25">
      <c r="A15" s="18" t="s">
        <v>113</v>
      </c>
      <c r="B15" s="3">
        <v>25.41</v>
      </c>
      <c r="C15" s="12">
        <v>4537.5</v>
      </c>
      <c r="D15" s="18" t="s">
        <v>67</v>
      </c>
      <c r="G15" s="3"/>
      <c r="H15" s="12">
        <v>362.25</v>
      </c>
      <c r="I15" s="18" t="s">
        <v>81</v>
      </c>
      <c r="L15" s="2"/>
      <c r="M15" s="1"/>
      <c r="R15" s="32"/>
    </row>
    <row r="16" spans="1:18" x14ac:dyDescent="0.25">
      <c r="B16" s="3"/>
      <c r="C16" s="12">
        <v>1210</v>
      </c>
      <c r="D16" s="18" t="s">
        <v>93</v>
      </c>
      <c r="G16" s="3"/>
      <c r="H16" s="12">
        <v>9.4499999999999993</v>
      </c>
      <c r="I16" s="18" t="s">
        <v>100</v>
      </c>
      <c r="L16" s="3" t="s">
        <v>158</v>
      </c>
      <c r="R16" s="31"/>
    </row>
    <row r="17" spans="2:12" x14ac:dyDescent="0.25">
      <c r="B17" s="3"/>
      <c r="C17" s="12">
        <v>360.4</v>
      </c>
      <c r="D17" s="18" t="s">
        <v>97</v>
      </c>
      <c r="G17" s="2"/>
      <c r="H17" s="1"/>
      <c r="L17" s="3"/>
    </row>
    <row r="18" spans="2:12" x14ac:dyDescent="0.25">
      <c r="C18" s="46">
        <v>145.19999999999999</v>
      </c>
      <c r="D18" s="18" t="s">
        <v>103</v>
      </c>
      <c r="G18" s="45" t="s">
        <v>159</v>
      </c>
      <c r="H18" s="45"/>
      <c r="L18" s="3"/>
    </row>
    <row r="19" spans="2:12" x14ac:dyDescent="0.25">
      <c r="B19" s="2"/>
      <c r="C19" s="1"/>
    </row>
    <row r="20" spans="2:12" x14ac:dyDescent="0.25">
      <c r="B20" s="7" t="s">
        <v>167</v>
      </c>
    </row>
  </sheetData>
  <mergeCells count="8">
    <mergeCell ref="A1:N1"/>
    <mergeCell ref="B4:C4"/>
    <mergeCell ref="G4:H4"/>
    <mergeCell ref="L4:M4"/>
    <mergeCell ref="B12:C12"/>
    <mergeCell ref="G12:H12"/>
    <mergeCell ref="L12:M12"/>
    <mergeCell ref="G18:H18"/>
  </mergeCells>
  <pageMargins left="0.7" right="0.7" top="0.75" bottom="0.75" header="0.3" footer="0.3"/>
  <pageSetup paperSize="9" orientation="portrait" r:id="rId1"/>
  <ignoredErrors>
    <ignoredError sqref="N5 N13 I5:I6 I13:I16 D13:D18 K5 D5 A13:A15 F13:F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961B-9E10-46A4-AF70-578243374344}">
  <dimension ref="A1:S27"/>
  <sheetViews>
    <sheetView workbookViewId="0">
      <selection activeCell="Q7" sqref="Q7"/>
    </sheetView>
  </sheetViews>
  <sheetFormatPr baseColWidth="10" defaultRowHeight="15" x14ac:dyDescent="0.25"/>
  <cols>
    <col min="1" max="1" width="4.42578125" bestFit="1" customWidth="1"/>
    <col min="2" max="2" width="12.42578125" customWidth="1"/>
    <col min="3" max="3" width="13.85546875" customWidth="1"/>
    <col min="4" max="4" width="2.85546875" bestFit="1" customWidth="1"/>
    <col min="6" max="6" width="4.42578125" bestFit="1" customWidth="1"/>
    <col min="7" max="7" width="11.7109375" customWidth="1"/>
    <col min="8" max="8" width="11.140625" customWidth="1"/>
    <col min="9" max="9" width="4.42578125" bestFit="1" customWidth="1"/>
    <col min="11" max="11" width="4.42578125" bestFit="1" customWidth="1"/>
    <col min="13" max="13" width="11.140625" customWidth="1"/>
    <col min="14" max="14" width="4.42578125" bestFit="1" customWidth="1"/>
    <col min="19" max="19" width="6.7109375" bestFit="1" customWidth="1"/>
  </cols>
  <sheetData>
    <row r="1" spans="1:19" ht="15.75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4" spans="1:19" x14ac:dyDescent="0.25">
      <c r="A4" s="1" t="s">
        <v>1</v>
      </c>
      <c r="B4" s="23" t="s">
        <v>12</v>
      </c>
      <c r="C4" s="23"/>
      <c r="D4" s="1" t="s">
        <v>2</v>
      </c>
      <c r="F4" s="1" t="s">
        <v>1</v>
      </c>
      <c r="G4" s="23" t="s">
        <v>13</v>
      </c>
      <c r="H4" s="23"/>
      <c r="I4" s="1" t="s">
        <v>2</v>
      </c>
      <c r="K4" s="1" t="s">
        <v>1</v>
      </c>
      <c r="L4" s="23" t="s">
        <v>14</v>
      </c>
      <c r="M4" s="23"/>
      <c r="N4" s="1" t="s">
        <v>2</v>
      </c>
    </row>
    <row r="5" spans="1:19" x14ac:dyDescent="0.25">
      <c r="A5" s="9" t="s">
        <v>61</v>
      </c>
      <c r="B5" s="3">
        <v>870</v>
      </c>
      <c r="F5" s="9" t="s">
        <v>97</v>
      </c>
      <c r="G5" s="3">
        <v>340</v>
      </c>
      <c r="K5" s="9" t="s">
        <v>101</v>
      </c>
      <c r="L5" s="3">
        <v>125</v>
      </c>
    </row>
    <row r="6" spans="1:19" x14ac:dyDescent="0.25">
      <c r="A6" s="9" t="s">
        <v>67</v>
      </c>
      <c r="B6" s="3">
        <v>3750</v>
      </c>
      <c r="G6" s="3"/>
      <c r="L6" s="3"/>
    </row>
    <row r="7" spans="1:19" x14ac:dyDescent="0.25">
      <c r="A7" s="18" t="s">
        <v>110</v>
      </c>
      <c r="B7" s="3">
        <v>330</v>
      </c>
      <c r="G7" s="3"/>
      <c r="L7" s="3"/>
    </row>
    <row r="8" spans="1:19" x14ac:dyDescent="0.25">
      <c r="B8" s="3"/>
      <c r="G8" s="3"/>
      <c r="L8" s="3"/>
    </row>
    <row r="9" spans="1:19" x14ac:dyDescent="0.25">
      <c r="B9" s="3"/>
      <c r="G9" s="3"/>
      <c r="L9" s="3"/>
    </row>
    <row r="10" spans="1:19" x14ac:dyDescent="0.25">
      <c r="B10" s="3"/>
      <c r="G10" s="3"/>
      <c r="L10" s="3"/>
    </row>
    <row r="12" spans="1:19" x14ac:dyDescent="0.25">
      <c r="A12" s="1" t="s">
        <v>1</v>
      </c>
      <c r="B12" s="23" t="s">
        <v>15</v>
      </c>
      <c r="C12" s="23"/>
      <c r="D12" s="1" t="s">
        <v>2</v>
      </c>
      <c r="F12" s="1" t="s">
        <v>1</v>
      </c>
      <c r="G12" s="23" t="s">
        <v>16</v>
      </c>
      <c r="H12" s="23"/>
      <c r="I12" s="1" t="s">
        <v>2</v>
      </c>
      <c r="K12" s="1" t="s">
        <v>1</v>
      </c>
      <c r="L12" s="23" t="s">
        <v>17</v>
      </c>
      <c r="M12" s="23"/>
      <c r="N12" s="1" t="s">
        <v>2</v>
      </c>
      <c r="Q12" s="19" t="s">
        <v>35</v>
      </c>
      <c r="R12" s="29"/>
      <c r="S12" s="29"/>
    </row>
    <row r="13" spans="1:19" x14ac:dyDescent="0.25">
      <c r="A13" s="9" t="s">
        <v>103</v>
      </c>
      <c r="B13" s="3">
        <v>120</v>
      </c>
      <c r="G13" s="3"/>
      <c r="H13" s="12">
        <v>21</v>
      </c>
      <c r="I13" s="9" t="s">
        <v>113</v>
      </c>
      <c r="L13" s="3"/>
      <c r="M13" s="12">
        <v>5000</v>
      </c>
      <c r="N13" s="9" t="s">
        <v>128</v>
      </c>
      <c r="Q13" s="29" t="s">
        <v>126</v>
      </c>
      <c r="R13" s="29">
        <v>40000</v>
      </c>
      <c r="S13" s="29">
        <v>-35000</v>
      </c>
    </row>
    <row r="14" spans="1:19" x14ac:dyDescent="0.25">
      <c r="B14" s="3"/>
      <c r="G14" s="3"/>
      <c r="L14" s="3"/>
      <c r="Q14" s="29" t="s">
        <v>127</v>
      </c>
      <c r="R14" s="29"/>
      <c r="S14" s="29"/>
    </row>
    <row r="15" spans="1:19" x14ac:dyDescent="0.25">
      <c r="B15" s="3"/>
      <c r="G15" s="3"/>
      <c r="L15" s="3"/>
    </row>
    <row r="16" spans="1:19" x14ac:dyDescent="0.25">
      <c r="B16" s="3"/>
      <c r="G16" s="3"/>
      <c r="L16" s="3"/>
    </row>
    <row r="17" spans="1:14" x14ac:dyDescent="0.25">
      <c r="B17" s="3"/>
      <c r="G17" s="3"/>
      <c r="L17" s="3"/>
    </row>
    <row r="18" spans="1:14" x14ac:dyDescent="0.25">
      <c r="B18" s="3"/>
      <c r="G18" s="3"/>
      <c r="L18" s="3"/>
    </row>
    <row r="21" spans="1:14" x14ac:dyDescent="0.25">
      <c r="A21" s="1" t="s">
        <v>1</v>
      </c>
      <c r="B21" s="23" t="s">
        <v>18</v>
      </c>
      <c r="C21" s="23"/>
      <c r="D21" s="1" t="s">
        <v>2</v>
      </c>
      <c r="F21" s="1" t="s">
        <v>1</v>
      </c>
      <c r="G21" s="23"/>
      <c r="H21" s="23"/>
      <c r="I21" s="1" t="s">
        <v>2</v>
      </c>
      <c r="K21" s="1" t="s">
        <v>1</v>
      </c>
      <c r="L21" s="23"/>
      <c r="M21" s="23"/>
      <c r="N21" s="1" t="s">
        <v>2</v>
      </c>
    </row>
    <row r="22" spans="1:14" x14ac:dyDescent="0.25">
      <c r="A22" s="9" t="s">
        <v>134</v>
      </c>
      <c r="B22" s="3">
        <v>3976</v>
      </c>
      <c r="G22" s="3"/>
      <c r="L22" s="3"/>
    </row>
    <row r="23" spans="1:14" x14ac:dyDescent="0.25">
      <c r="B23" s="3"/>
      <c r="G23" s="3"/>
      <c r="L23" s="3"/>
    </row>
    <row r="24" spans="1:14" x14ac:dyDescent="0.25">
      <c r="B24" s="3"/>
      <c r="G24" s="3"/>
      <c r="L24" s="3"/>
    </row>
    <row r="25" spans="1:14" x14ac:dyDescent="0.25">
      <c r="B25" s="3"/>
      <c r="G25" s="3"/>
      <c r="L25" s="3"/>
    </row>
    <row r="26" spans="1:14" x14ac:dyDescent="0.25">
      <c r="B26" s="3"/>
      <c r="G26" s="3"/>
      <c r="L26" s="3"/>
    </row>
    <row r="27" spans="1:14" x14ac:dyDescent="0.25">
      <c r="B27" s="3"/>
      <c r="G27" s="3"/>
      <c r="L27" s="3"/>
    </row>
  </sheetData>
  <mergeCells count="10">
    <mergeCell ref="B21:C21"/>
    <mergeCell ref="G21:H21"/>
    <mergeCell ref="L21:M21"/>
    <mergeCell ref="A1:N1"/>
    <mergeCell ref="B4:C4"/>
    <mergeCell ref="G4:H4"/>
    <mergeCell ref="L4:M4"/>
    <mergeCell ref="B12:C12"/>
    <mergeCell ref="G12:H12"/>
    <mergeCell ref="L12:M12"/>
  </mergeCells>
  <pageMargins left="0.7" right="0.7" top="0.75" bottom="0.75" header="0.3" footer="0.3"/>
  <pageSetup paperSize="9" orientation="portrait" r:id="rId1"/>
  <ignoredErrors>
    <ignoredError sqref="A5:A7 F5 K5 A13 I13 N13 A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1682-CE21-4A03-9CFA-400DE4D8C2D6}">
  <dimension ref="A1:N27"/>
  <sheetViews>
    <sheetView workbookViewId="0">
      <selection activeCell="P17" sqref="P17"/>
    </sheetView>
  </sheetViews>
  <sheetFormatPr baseColWidth="10" defaultRowHeight="15" x14ac:dyDescent="0.25"/>
  <cols>
    <col min="1" max="1" width="3.28515625" customWidth="1"/>
    <col min="2" max="2" width="14.42578125" customWidth="1"/>
    <col min="3" max="3" width="13.85546875" customWidth="1"/>
    <col min="4" max="4" width="4.42578125" bestFit="1" customWidth="1"/>
    <col min="6" max="6" width="4.42578125" bestFit="1" customWidth="1"/>
    <col min="9" max="9" width="3.42578125" bestFit="1" customWidth="1"/>
    <col min="11" max="11" width="3.28515625" bestFit="1" customWidth="1"/>
    <col min="12" max="12" width="15.5703125" customWidth="1"/>
    <col min="13" max="13" width="15.7109375" customWidth="1"/>
    <col min="14" max="14" width="4.42578125" bestFit="1" customWidth="1"/>
  </cols>
  <sheetData>
    <row r="1" spans="1:14" ht="15.75" x14ac:dyDescent="0.25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4" spans="1:14" x14ac:dyDescent="0.25">
      <c r="A4" s="1" t="s">
        <v>20</v>
      </c>
      <c r="B4" s="23" t="s">
        <v>27</v>
      </c>
      <c r="C4" s="23"/>
      <c r="D4" s="1" t="s">
        <v>21</v>
      </c>
      <c r="F4" s="1" t="s">
        <v>20</v>
      </c>
      <c r="G4" s="23" t="s">
        <v>28</v>
      </c>
      <c r="H4" s="23"/>
      <c r="I4" s="1" t="s">
        <v>21</v>
      </c>
      <c r="K4" s="1" t="s">
        <v>20</v>
      </c>
      <c r="L4" s="23" t="s">
        <v>29</v>
      </c>
      <c r="M4" s="23"/>
      <c r="N4" s="1" t="s">
        <v>21</v>
      </c>
    </row>
    <row r="5" spans="1:14" x14ac:dyDescent="0.25">
      <c r="B5" s="3"/>
      <c r="C5" s="12">
        <v>45</v>
      </c>
      <c r="D5" s="9" t="s">
        <v>100</v>
      </c>
      <c r="F5" s="9" t="s">
        <v>88</v>
      </c>
      <c r="G5" s="3">
        <v>550</v>
      </c>
      <c r="H5" s="12">
        <v>3060</v>
      </c>
      <c r="I5" s="9" t="s">
        <v>56</v>
      </c>
      <c r="L5" s="3"/>
      <c r="M5" s="12">
        <v>25</v>
      </c>
      <c r="N5" s="9" t="s">
        <v>82</v>
      </c>
    </row>
    <row r="6" spans="1:14" x14ac:dyDescent="0.25">
      <c r="B6" s="3"/>
      <c r="G6" s="3"/>
      <c r="H6" s="12">
        <v>365</v>
      </c>
      <c r="I6" s="9" t="s">
        <v>74</v>
      </c>
      <c r="L6" s="3"/>
    </row>
    <row r="7" spans="1:14" x14ac:dyDescent="0.25">
      <c r="B7" s="3"/>
      <c r="G7" s="3"/>
      <c r="H7" s="42">
        <v>1725</v>
      </c>
      <c r="I7" s="18" t="s">
        <v>81</v>
      </c>
      <c r="L7" s="3"/>
    </row>
    <row r="8" spans="1:14" x14ac:dyDescent="0.25">
      <c r="B8" s="3"/>
      <c r="G8" s="3"/>
      <c r="L8" s="3"/>
    </row>
    <row r="9" spans="1:14" x14ac:dyDescent="0.25">
      <c r="B9" s="3"/>
      <c r="G9" s="3"/>
      <c r="L9" s="3"/>
    </row>
    <row r="10" spans="1:14" x14ac:dyDescent="0.25">
      <c r="B10" s="3"/>
      <c r="G10" s="3"/>
      <c r="L10" s="3"/>
    </row>
    <row r="12" spans="1:14" x14ac:dyDescent="0.25">
      <c r="A12" s="1" t="s">
        <v>20</v>
      </c>
      <c r="B12" s="23" t="s">
        <v>30</v>
      </c>
      <c r="C12" s="23"/>
      <c r="D12" s="1" t="s">
        <v>21</v>
      </c>
      <c r="F12" s="1" t="s">
        <v>20</v>
      </c>
      <c r="G12" s="23"/>
      <c r="H12" s="23"/>
      <c r="I12" s="1" t="s">
        <v>21</v>
      </c>
      <c r="K12" s="1"/>
      <c r="L12" s="23"/>
      <c r="M12" s="23"/>
      <c r="N12" s="1"/>
    </row>
    <row r="13" spans="1:14" x14ac:dyDescent="0.25">
      <c r="A13" s="9" t="s">
        <v>56</v>
      </c>
      <c r="B13" s="3">
        <v>180</v>
      </c>
      <c r="G13" s="3"/>
      <c r="L13" s="3"/>
    </row>
    <row r="14" spans="1:14" x14ac:dyDescent="0.25">
      <c r="B14" s="3"/>
      <c r="G14" s="3"/>
      <c r="L14" s="3"/>
    </row>
    <row r="15" spans="1:14" x14ac:dyDescent="0.25">
      <c r="B15" s="3"/>
      <c r="G15" s="3"/>
      <c r="L15" s="3"/>
    </row>
    <row r="16" spans="1:14" x14ac:dyDescent="0.25">
      <c r="B16" s="3"/>
      <c r="G16" s="3"/>
      <c r="L16" s="3"/>
    </row>
    <row r="17" spans="1:14" x14ac:dyDescent="0.25">
      <c r="B17" s="3"/>
      <c r="G17" s="3"/>
      <c r="L17" s="3"/>
    </row>
    <row r="18" spans="1:14" x14ac:dyDescent="0.25">
      <c r="B18" s="3"/>
      <c r="G18" s="3"/>
      <c r="L18" s="3"/>
    </row>
    <row r="21" spans="1:14" x14ac:dyDescent="0.25">
      <c r="A21" s="1"/>
      <c r="B21" s="23"/>
      <c r="C21" s="23"/>
      <c r="D21" s="1"/>
      <c r="F21" s="1"/>
      <c r="G21" s="23"/>
      <c r="H21" s="23"/>
      <c r="I21" s="1"/>
      <c r="K21" s="1"/>
      <c r="L21" s="23"/>
      <c r="M21" s="23"/>
      <c r="N21" s="1"/>
    </row>
    <row r="22" spans="1:14" x14ac:dyDescent="0.25">
      <c r="B22" s="3"/>
      <c r="G22" s="3"/>
      <c r="L22" s="3"/>
    </row>
    <row r="23" spans="1:14" x14ac:dyDescent="0.25">
      <c r="B23" s="3"/>
      <c r="G23" s="3"/>
      <c r="L23" s="3"/>
    </row>
    <row r="24" spans="1:14" x14ac:dyDescent="0.25">
      <c r="B24" s="3"/>
      <c r="G24" s="3"/>
      <c r="L24" s="3"/>
    </row>
    <row r="25" spans="1:14" x14ac:dyDescent="0.25">
      <c r="B25" s="3"/>
      <c r="G25" s="3"/>
      <c r="L25" s="3"/>
    </row>
    <row r="26" spans="1:14" x14ac:dyDescent="0.25">
      <c r="B26" s="3"/>
      <c r="G26" s="3"/>
      <c r="L26" s="3"/>
    </row>
    <row r="27" spans="1:14" x14ac:dyDescent="0.25">
      <c r="B27" s="3"/>
      <c r="G27" s="3"/>
      <c r="L27" s="3"/>
    </row>
  </sheetData>
  <mergeCells count="10">
    <mergeCell ref="B21:C21"/>
    <mergeCell ref="G21:H21"/>
    <mergeCell ref="L21:M21"/>
    <mergeCell ref="A1:N1"/>
    <mergeCell ref="B4:C4"/>
    <mergeCell ref="G4:H4"/>
    <mergeCell ref="L4:M4"/>
    <mergeCell ref="B12:C12"/>
    <mergeCell ref="G12:H12"/>
    <mergeCell ref="L12:M12"/>
  </mergeCells>
  <pageMargins left="0.7" right="0.7" top="0.75" bottom="0.75" header="0.3" footer="0.3"/>
  <pageSetup paperSize="9" orientation="portrait" r:id="rId1"/>
  <ignoredErrors>
    <ignoredError sqref="D5 F5 I5:I7 N5 A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3143-ECB6-4697-94BE-2358C661CB09}">
  <dimension ref="A1:E18"/>
  <sheetViews>
    <sheetView workbookViewId="0">
      <selection activeCell="J21" sqref="J21"/>
    </sheetView>
  </sheetViews>
  <sheetFormatPr baseColWidth="10" defaultRowHeight="15" x14ac:dyDescent="0.25"/>
  <cols>
    <col min="1" max="1" width="23" customWidth="1"/>
    <col min="3" max="3" width="22.7109375" customWidth="1"/>
  </cols>
  <sheetData>
    <row r="1" spans="1:5" x14ac:dyDescent="0.25">
      <c r="A1" s="21" t="s">
        <v>31</v>
      </c>
      <c r="B1" s="24"/>
      <c r="C1" s="21" t="s">
        <v>32</v>
      </c>
      <c r="D1" s="21"/>
    </row>
    <row r="2" spans="1:5" x14ac:dyDescent="0.25">
      <c r="A2" s="25" t="s">
        <v>43</v>
      </c>
      <c r="B2" s="26"/>
      <c r="C2" s="27" t="s">
        <v>44</v>
      </c>
      <c r="D2" s="25"/>
    </row>
    <row r="3" spans="1:5" x14ac:dyDescent="0.25">
      <c r="A3" s="4" t="s">
        <v>33</v>
      </c>
      <c r="B3" s="7">
        <v>4950</v>
      </c>
      <c r="C3" t="s">
        <v>39</v>
      </c>
      <c r="D3" s="4">
        <v>4600</v>
      </c>
      <c r="E3" s="4"/>
    </row>
    <row r="4" spans="1:5" x14ac:dyDescent="0.25">
      <c r="A4" s="4" t="s">
        <v>34</v>
      </c>
      <c r="B4" s="37" t="s">
        <v>129</v>
      </c>
      <c r="C4" t="s">
        <v>40</v>
      </c>
      <c r="D4">
        <v>45</v>
      </c>
    </row>
    <row r="5" spans="1:5" x14ac:dyDescent="0.25">
      <c r="A5" s="4" t="s">
        <v>35</v>
      </c>
      <c r="B5" s="37" t="s">
        <v>130</v>
      </c>
      <c r="C5" t="s">
        <v>41</v>
      </c>
      <c r="D5" s="36" t="s">
        <v>53</v>
      </c>
    </row>
    <row r="6" spans="1:5" x14ac:dyDescent="0.25">
      <c r="A6" s="5" t="s">
        <v>36</v>
      </c>
      <c r="B6" s="3">
        <v>340</v>
      </c>
    </row>
    <row r="7" spans="1:5" x14ac:dyDescent="0.25">
      <c r="A7" s="5" t="s">
        <v>37</v>
      </c>
      <c r="B7" s="3">
        <v>125</v>
      </c>
    </row>
    <row r="8" spans="1:5" x14ac:dyDescent="0.25">
      <c r="A8" s="5" t="s">
        <v>38</v>
      </c>
      <c r="B8" s="3">
        <v>120</v>
      </c>
    </row>
    <row r="9" spans="1:5" x14ac:dyDescent="0.25">
      <c r="A9" s="1"/>
      <c r="B9" s="2"/>
      <c r="C9" s="6"/>
      <c r="D9" s="1"/>
    </row>
    <row r="10" spans="1:5" x14ac:dyDescent="0.25">
      <c r="A10" s="25" t="s">
        <v>45</v>
      </c>
      <c r="B10" s="26"/>
      <c r="C10" s="28" t="s">
        <v>42</v>
      </c>
      <c r="D10" s="21"/>
    </row>
    <row r="11" spans="1:5" x14ac:dyDescent="0.25">
      <c r="A11" s="4"/>
      <c r="B11" s="7"/>
      <c r="C11" t="s">
        <v>46</v>
      </c>
      <c r="D11">
        <v>25</v>
      </c>
    </row>
    <row r="12" spans="1:5" x14ac:dyDescent="0.25">
      <c r="A12" s="4"/>
      <c r="B12" s="3"/>
    </row>
    <row r="13" spans="1:5" x14ac:dyDescent="0.25">
      <c r="A13" s="4"/>
      <c r="B13" s="3"/>
    </row>
    <row r="14" spans="1:5" x14ac:dyDescent="0.25">
      <c r="A14" s="1"/>
      <c r="B14" s="2"/>
      <c r="C14" s="1"/>
      <c r="D14" s="1"/>
    </row>
    <row r="15" spans="1:5" x14ac:dyDescent="0.25">
      <c r="A15" s="8" t="s">
        <v>47</v>
      </c>
      <c r="B15" s="20">
        <v>514</v>
      </c>
      <c r="C15" s="8" t="s">
        <v>47</v>
      </c>
      <c r="D15" s="38">
        <v>4490</v>
      </c>
    </row>
    <row r="16" spans="1:5" x14ac:dyDescent="0.25">
      <c r="B16" s="34"/>
      <c r="C16" s="34"/>
      <c r="D16" s="34"/>
    </row>
    <row r="17" spans="2:4" x14ac:dyDescent="0.25">
      <c r="B17" s="11" t="s">
        <v>131</v>
      </c>
      <c r="C17" s="35">
        <f>D15-B15</f>
        <v>3976</v>
      </c>
      <c r="D17" s="39" t="s">
        <v>133</v>
      </c>
    </row>
    <row r="18" spans="2:4" x14ac:dyDescent="0.25">
      <c r="B18" s="11" t="s">
        <v>132</v>
      </c>
      <c r="C18" s="11"/>
      <c r="D18" s="11"/>
    </row>
  </sheetData>
  <mergeCells count="6">
    <mergeCell ref="A1:B1"/>
    <mergeCell ref="C1:D1"/>
    <mergeCell ref="A2:B2"/>
    <mergeCell ref="C2:D2"/>
    <mergeCell ref="C10:D10"/>
    <mergeCell ref="A10:B10"/>
  </mergeCells>
  <pageMargins left="0.7" right="0.7" top="0.75" bottom="0.75" header="0.3" footer="0.3"/>
  <pageSetup paperSize="9" orientation="portrait" r:id="rId1"/>
  <ignoredErrors>
    <ignoredError sqref="D5 B4:B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30EB-36A1-408B-9594-D40DBFE69298}">
  <dimension ref="A1:D14"/>
  <sheetViews>
    <sheetView workbookViewId="0">
      <selection activeCell="E20" sqref="E20"/>
    </sheetView>
  </sheetViews>
  <sheetFormatPr baseColWidth="10" defaultRowHeight="15" x14ac:dyDescent="0.25"/>
  <cols>
    <col min="1" max="1" width="22.7109375" customWidth="1"/>
    <col min="3" max="3" width="22.7109375" customWidth="1"/>
  </cols>
  <sheetData>
    <row r="1" spans="1:4" x14ac:dyDescent="0.25">
      <c r="A1" s="21" t="s">
        <v>136</v>
      </c>
      <c r="B1" s="21"/>
      <c r="C1" s="21"/>
      <c r="D1" s="21"/>
    </row>
    <row r="2" spans="1:4" x14ac:dyDescent="0.25">
      <c r="A2" s="21" t="s">
        <v>137</v>
      </c>
      <c r="B2" s="24"/>
      <c r="C2" s="21" t="s">
        <v>138</v>
      </c>
      <c r="D2" s="21"/>
    </row>
    <row r="3" spans="1:4" x14ac:dyDescent="0.25">
      <c r="A3" s="4" t="s">
        <v>148</v>
      </c>
      <c r="B3" s="3">
        <v>226000</v>
      </c>
      <c r="C3" t="s">
        <v>160</v>
      </c>
      <c r="D3">
        <v>272420</v>
      </c>
    </row>
    <row r="4" spans="1:4" x14ac:dyDescent="0.25">
      <c r="A4" s="4" t="s">
        <v>149</v>
      </c>
      <c r="B4" s="3">
        <v>40000</v>
      </c>
      <c r="C4" t="s">
        <v>161</v>
      </c>
      <c r="D4">
        <v>3976</v>
      </c>
    </row>
    <row r="5" spans="1:4" x14ac:dyDescent="0.25">
      <c r="A5" s="4" t="s">
        <v>150</v>
      </c>
      <c r="B5" s="3">
        <v>4629.6000000000004</v>
      </c>
      <c r="C5" t="s">
        <v>162</v>
      </c>
      <c r="D5">
        <v>135000</v>
      </c>
    </row>
    <row r="6" spans="1:4" x14ac:dyDescent="0.25">
      <c r="A6" s="5" t="s">
        <v>151</v>
      </c>
      <c r="B6" s="3">
        <v>2003.04</v>
      </c>
      <c r="C6" t="s">
        <v>163</v>
      </c>
      <c r="D6">
        <v>5000</v>
      </c>
    </row>
    <row r="7" spans="1:4" x14ac:dyDescent="0.25">
      <c r="A7" s="5" t="s">
        <v>152</v>
      </c>
      <c r="B7" s="3">
        <v>148217.70000000001</v>
      </c>
      <c r="C7" t="s">
        <v>164</v>
      </c>
      <c r="D7">
        <v>8670.19</v>
      </c>
    </row>
    <row r="8" spans="1:4" x14ac:dyDescent="0.25">
      <c r="A8" s="5" t="s">
        <v>153</v>
      </c>
      <c r="B8" s="3">
        <v>4216</v>
      </c>
    </row>
    <row r="9" spans="1:4" x14ac:dyDescent="0.25">
      <c r="A9" s="4"/>
      <c r="B9" s="3"/>
    </row>
    <row r="10" spans="1:4" x14ac:dyDescent="0.25">
      <c r="A10" s="4"/>
      <c r="B10" s="2"/>
      <c r="D10" s="1"/>
    </row>
    <row r="11" spans="1:4" x14ac:dyDescent="0.25">
      <c r="A11" s="47" t="s">
        <v>154</v>
      </c>
      <c r="B11" s="48">
        <f>SUM(B3:B10)</f>
        <v>425066.33999999997</v>
      </c>
      <c r="C11" s="11" t="s">
        <v>154</v>
      </c>
      <c r="D11" s="11">
        <f>SUM(D3:D10)</f>
        <v>425066.19</v>
      </c>
    </row>
    <row r="13" spans="1:4" x14ac:dyDescent="0.25">
      <c r="C13" s="49" t="s">
        <v>165</v>
      </c>
      <c r="D13" s="49">
        <f>D11-B11</f>
        <v>-0.1499999999650754</v>
      </c>
    </row>
    <row r="14" spans="1:4" x14ac:dyDescent="0.25">
      <c r="D14" s="49" t="s">
        <v>166</v>
      </c>
    </row>
  </sheetData>
  <mergeCells count="3">
    <mergeCell ref="A1:D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Factures</vt:lpstr>
      <vt:lpstr>Grand livre des comptes ACTIF</vt:lpstr>
      <vt:lpstr>Grand livre des comptes PASSIF</vt:lpstr>
      <vt:lpstr>Grand livre des comptes CHARGES</vt:lpstr>
      <vt:lpstr>Grand livre des comptes PRODUIT</vt:lpstr>
      <vt:lpstr>Compte de résultat</vt:lpstr>
      <vt:lpstr>Bilan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Derome Caroline</dc:creator>
  <cp:lastModifiedBy>Derome Caroline</cp:lastModifiedBy>
  <dcterms:created xsi:type="dcterms:W3CDTF">2026-09-29T15:40:11Z</dcterms:created>
  <dcterms:modified xsi:type="dcterms:W3CDTF">2026-10-06T15:51:56Z</dcterms:modified>
</cp:coreProperties>
</file>